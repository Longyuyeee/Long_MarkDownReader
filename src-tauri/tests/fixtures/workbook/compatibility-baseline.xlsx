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s/slicer1.xml" ContentType="application/vnd.ms-excel.slicer+xml"/>
  <Override PartName="/xl/externalLinks/externalLink1.xml" ContentType="application/vnd.openxmlformats-officedocument.spreadsheetml.externalLink+xml"/>
  <Override PartName="/xl/connections.xml" ContentType="application/vnd.openxmlformats-officedocument.spreadsheetml.connection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s" sheetId="2" r:id="rId2"/>
    <sheet name="Inventory" sheetId="3" r:id="rId3"/>
    <sheet name="Protected" sheetId="4" r:id="rId4"/>
  </sheets>
  <definedNames>
    <definedName name="_xlnm._FilterDatabase" localSheetId="1" hidden="1">Details!$A$1:$B$2</definedName>
    <definedName name="AmountRange">Summary!$B$2:$B$2</definedName>
    <definedName name="Codes" localSheetId="1">Details!$A$2:$A$2</definedName>
    <definedName name="_xlnm.Print_Area" localSheetId="0">Summary!$A$1:$F$5</definedName>
    <definedName name="ReportWindow">Summary!$A$1:$F$4</definedName>
    <definedName name="TaxRate">0.13</definedName>
    <definedName name="TeamLabel">"R&amp;D"</definedName>
  </definedNames>
  <calcPr calcId="124519" fullCalcOnLoad="1"/>
  <externalReferences>
    <externalReference r:id="rIdExternalFixture"/>
  </externalReferences>
  <pivotCaches>
    <pivotCache cacheId="1" r:id="rIdPivotCacheFixture"/>
  </pivotCaches>
  <workbookProtection lockStructure="1" workbookPassword="ABCD"/>
</workbook>
</file>

<file path=xl/connections.xml><?xml version="1.0" encoding="utf-8"?>
<connections xmlns="http://schemas.openxmlformats.org/spreadsheetml/2006/main">
  <connection id="7" name="Warehouse fixture" type="5" refreshOnLoad="1" background="0" saveData="1">
    <dbPr connection="Server=secret.example;Password=not-for-ui" command="SELECT 1"/>
  </connection>
</connections>
</file>

<file path=xl/sharedStrings.xml><?xml version="1.0" encoding="utf-8"?>
<sst xmlns="http://schemas.openxmlformats.org/spreadsheetml/2006/main" count="23" uniqueCount="23">
  <si>
    <t>Item</t>
  </si>
  <si>
    <t>Amount</t>
  </si>
  <si>
    <t>Approved</t>
  </si>
  <si>
    <t>Due date</t>
  </si>
  <si>
    <t>Reviewed at</t>
  </si>
  <si>
    <t>Formula error</t>
  </si>
  <si>
    <t>Alpha</t>
  </si>
  <si>
    <t>Total</t>
  </si>
  <si>
    <t>Named total</t>
  </si>
  <si>
    <t>Merged fixture title</t>
  </si>
  <si>
    <t>Code</t>
  </si>
  <si>
    <t>Status</t>
  </si>
  <si>
    <t>A-001</t>
  </si>
  <si>
    <t>Active</t>
  </si>
  <si>
    <t>Product</t>
  </si>
  <si>
    <t>Stock</t>
  </si>
  <si>
    <t>Category</t>
  </si>
  <si>
    <t>Keyboard</t>
  </si>
  <si>
    <t>Hardware</t>
  </si>
  <si>
    <t>Notebook</t>
  </si>
  <si>
    <t>Stationery</t>
  </si>
  <si>
    <t>Locked content</t>
  </si>
  <si>
    <t>Read-only fixture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</si>
</sst>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PivotCacheFixture" Type="http://schemas.openxmlformats.org/officeDocument/2006/relationships/pivotCacheDefinition" Target="pivotCache/pivotCacheDefinition1.xml"/><Relationship Id="rIdExternalFixture" Type="http://schemas.openxmlformats.org/officeDocument/2006/relationships/externalLink" Target="externalLinks/externalLink1.xml"/><Relationship Id="rIdConnectionsFixture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Inventory stock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Stock</c:v>
          </c:tx>
          <c:cat>
            <c:strRef>
              <c:f>Inventory!$A$2:$A$3</c:f>
              <c:strCache>
                <c:ptCount val="2"/>
                <c:pt idx="0">
                  <c:v>Keyboard</c:v>
                </c:pt>
                <c:pt idx="1">
                  <c:v>Notebook</c:v>
                </c:pt>
              </c:strCache>
            </c:strRef>
          </c:cat>
          <c:val>
            <c:numRef>
              <c:f>Inventory!$B$2:$B$3</c:f>
              <c:numCache>
                <c:formatCode>General</c:formatCode>
                <c:ptCount val="2"/>
                <c:pt idx="0">
                  <c:v>12</c:v>
                </c:pt>
                <c:pt idx="1">
                  <c:v>30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18</xdr:row>
      <xdr:rowOff>0</xdr:rowOff>
    </xdr:from>
    <xdr:to>
      <xdr:col>4</xdr:col>
      <xdr:colOff>9525</xdr:colOff>
      <xdr:row>18</xdr:row>
      <xdr:rowOff>9525</xdr:rowOff>
    </xdr:to>
    <xdr:pic>
      <xdr:nvPicPr>
        <xdr:cNvPr id="2" name="Picture 1" descr="Inventory marker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3429000"/>
          <a:ext cx="9525" cy="95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3" name="InventoryStock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/fixtures/external-data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ExternalData"/>
    </sheetNames>
    <sheetDataSet>
      <sheetData sheetId="0"/>
    </sheetDataSet>
  </externalBook>
</externalLink>
</file>

<file path=xl/pivotCache/_rels/pivotCacheDefinition1.xml.rels><?xml version="1.0" encoding="UTF-8" standalone="yes"?><Relationships xmlns="http://schemas.openxmlformats.org/package/2006/relationships"><Relationship Id="rIdRecords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Records" recordCount="2" refreshOnLoad="1">
  <cacheSource type="worksheet">
    <worksheetSource ref="A1:C3" sheet="Inventory"/>
  </cacheSource>
  <cacheFields count="3">
    <cacheField name="Product">
      <sharedItems containsString="1" count="2">
        <s v="Keyboard"/>
        <s v="Notebook"/>
      </sharedItems>
    </cacheField>
    <cacheField name="Stock">
      <sharedItems containsNumber="1" count="2" minValue="12" maxValue="30"/>
    </cacheField>
    <cacheField name="Category">
      <sharedItems containsString="1" count="2">
        <s v="Hardware"/>
        <s v="Stationery"/>
      </sharedItems>
    </cacheField>
  </cacheFields>
</pivotCacheDefinition>
</file>

<file path=xl/pivotCache/pivotCacheRecords1.xml><?xml version="1.0" encoding="utf-8"?>
<pivotCacheRecords xmlns="http://schemas.openxmlformats.org/spreadsheetml/2006/main" count="2">
  <r>
    <x v="0"/>
    <n v="12"/>
    <x v="0"/>
  </r>
  <r>
    <x v="1"/>
    <n v="30"/>
    <x v="1"/>
  </r>
</pivotCacheRecords>
</file>

<file path=xl/pivotTables/pivotTable1.xml><?xml version="1.0" encoding="utf-8"?>
<pivotTableDefinition xmlns="http://schemas.openxmlformats.org/spreadsheetml/2006/main" name="InventoryPivot" cacheId="1">
  <location ref="E2:G6" firstHeaderRow="1" firstDataRow="2" firstDataCol="1"/>
  <pivotFields count="3">
    <pivotField axis="axisRow" showAll="0"/>
    <pivotField axis="axisCol" showAll="0"/>
    <pivotField dataField="1" showAll="0"/>
  </pivotFields>
  <rowFields count="1">
    <field x="0"/>
  </rowFields>
  <colFields count="1">
    <field x="2"/>
  </colFields>
  <dataFields count="1">
    <dataField name="Sum of Stock" fld="1" subtotal="sum"/>
  </dataFields>
</pivotTableDefinition>
</file>

<file path=xl/slicers/slicer1.xml><?xml version="1.0" encoding="utf-8"?>
<slicers xmlns="http://schemas.microsoft.com/office/spreadsheetml/2009/9/main">
  <slicer name="CategorySlicer" cache="CategorySlicerCache"/>
</slicers>
</file>

<file path=xl/tables/table1.xml><?xml version="1.0" encoding="utf-8"?>
<table xmlns="http://schemas.openxmlformats.org/spreadsheetml/2006/main" id="1" name="InventoryTable" displayName="InventoryTable" ref="A1:C3" totalsRowShown="0">
  <autoFilter ref="A1:C3"/>
  <tableColumns count="3">
    <tableColumn id="1" name="Product"/>
    <tableColumn id="2" name="Stock"/>
    <tableColumn id="3" name="Catego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PivotFixture" Type="http://schemas.openxmlformats.org/officeDocument/2006/relationships/pivotTable" Target="../pivotTables/pivotTable1.xml"/><Relationship Id="rIdSlicerFixture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6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.75" customHeight="1">
      <c r="A2" t="s">
        <v>6</v>
      </c>
      <c r="B2" s="2">
        <v>1250.5</v>
      </c>
      <c r="C2" t="b">
        <v>1</v>
      </c>
      <c r="D2" s="3">
        <v>46223</v>
      </c>
      <c r="E2" s="4">
        <v>46223.60434027778</v>
      </c>
      <c r="F2" t="e">
        <f>1/0</f>
        <v>#DIV/0!</v>
      </c>
    </row>
    <row r="3" spans="1:6">
      <c r="A3" t="s">
        <v>7</v>
      </c>
      <c r="B3">
        <f>SUM(B2:B2)</f>
        <v>1250.5</v>
      </c>
    </row>
    <row r="4" spans="1:6">
      <c r="A4" t="s">
        <v>8</v>
      </c>
      <c r="B4">
        <f>SUM(AmountRange)</f>
        <v>1250.5</v>
      </c>
    </row>
    <row r="5" spans="1:6">
      <c r="A5" s="1" t="s">
        <v>9</v>
      </c>
      <c r="B5" s="1"/>
      <c r="C5" s="1"/>
    </row>
  </sheetData>
  <mergeCells count="1">
    <mergeCell ref="A5:C5"/>
  </mergeCells>
  <conditionalFormatting sqref="B2">
    <cfRule type="cellIs" dxfId="0" priority="1" operator="greaterThan">
      <formula>1000</formula>
    </cfRule>
  </conditionalFormatting>
  <printOptions horizontalCentered="1" headings="1" gridLines="1"/>
  <pageMargins left="0.5" right="0.5" top="0.7" bottom="0.7" header="0.3" footer="0.3"/>
  <pageSetup paperSize="9" fitToHeight="0" orientation="landscape" horizontalDpi="200" verticalDpi="200"/>
  <headerFooter>
    <oddHeader>&amp;LConfidential&amp;CQuarterly summary&amp;RPage &amp;P of &amp;N</oddHeader>
    <oddFooter>&amp;CGenerated by LongEdit fixture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10</v>
      </c>
      <c r="B1" t="s">
        <v>11</v>
      </c>
    </row>
    <row r="2" spans="1:2">
      <c r="A2" t="s">
        <v>12</v>
      </c>
      <c r="B2" t="s">
        <v>13</v>
      </c>
    </row>
  </sheetData>
  <autoFilter ref="A1:B2"/>
  <dataValidations count="1">
    <dataValidation type="list" allowBlank="1" showInputMessage="1" showErrorMessage="1" errorTitle="Invalid status" error="Use Active, Paused, or Closed" promptTitle="Status" prompt="Choose an approved status" sqref="B2:B101">
      <formula1>"Active,Paused,Closed"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14</v>
      </c>
      <c r="B1" t="s">
        <v>15</v>
      </c>
      <c r="C1" t="s">
        <v>16</v>
      </c>
    </row>
    <row r="2" spans="1:3">
      <c r="A2" t="s">
        <v>17</v>
      </c>
      <c r="B2">
        <v>12</v>
      </c>
      <c r="C2" t="s">
        <v>18</v>
      </c>
    </row>
    <row r="3" spans="1:3">
      <c r="A3" t="s">
        <v>19</v>
      </c>
      <c r="B3">
        <v>30</v>
      </c>
      <c r="C3" t="s">
        <v>20</v>
      </c>
    </row>
  </sheetData>
  <pageMargins left="0.7" right="0.7" top="0.75" bottom="0.75" header="0.3" footer="0.3"/>
  <drawing r:id="rId1"/>
  <tableParts count="1">
    <tablePart r:id="rId2"/>
  </tableParts>
  <pivotTableParts count="1">
    <pivotTablePart r:id="rIdPivotFixture"/>
  </pivot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21</v>
      </c>
    </row>
    <row r="2" spans="1:1">
      <c r="A2" t="s">
        <v>22</v>
      </c>
    </row>
  </sheetData>
  <sheetProtection password="B459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Summary</vt:lpstr>
      <vt:lpstr>Details</vt:lpstr>
      <vt:lpstr>Inventory</vt:lpstr>
      <vt:lpstr>Protected</vt:lpstr>
      <vt:lpstr>AmountRange</vt:lpstr>
      <vt:lpstr>Details!Codes</vt:lpstr>
      <vt:lpstr>Summary!Print_Area</vt:lpstr>
      <vt:lpstr>ReportWindow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2026-07-23T15:47:19Z</dcterms:created>
  <dcterms:modified xsi:type="dcterms:W3CDTF">2026-07-23T15:47:19Z</dcterms:modified>
</cp:coreProperties>
</file>