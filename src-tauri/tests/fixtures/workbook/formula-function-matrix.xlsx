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ormula Matrix" sheetId="1" r:id="rId1"/>
    <sheet name="Lookup Data" sheetId="2" r:id="rId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<sst xmlns="http://schemas.openxmlformats.org/spreadsheetml/2006/main" count="90" uniqueCount="85">
  <si>
    <t>Value</t>
  </si>
  <si>
    <t>Text</t>
  </si>
  <si>
    <t>Region</t>
  </si>
  <si>
    <t>Case</t>
  </si>
  <si>
    <t>Formula result</t>
  </si>
  <si>
    <t xml:space="preserve"> long edit </t>
  </si>
  <si>
    <t>West</t>
  </si>
  <si>
    <t>aggregate_sum</t>
  </si>
  <si>
    <t>workspace</t>
  </si>
  <si>
    <t>East</t>
  </si>
  <si>
    <t>aggregate_average</t>
  </si>
  <si>
    <t>aggregate_min</t>
  </si>
  <si>
    <t>aggregate_max</t>
  </si>
  <si>
    <t>aggregate_count</t>
  </si>
  <si>
    <t>math_abs</t>
  </si>
  <si>
    <t>math_round</t>
  </si>
  <si>
    <t>logical_if</t>
  </si>
  <si>
    <t>logical_and</t>
  </si>
  <si>
    <t>logical_or</t>
  </si>
  <si>
    <t>logical_not</t>
  </si>
  <si>
    <t>text_concat</t>
  </si>
  <si>
    <t>text_len_trim</t>
  </si>
  <si>
    <t>text_upper</t>
  </si>
  <si>
    <t>error_division</t>
  </si>
  <si>
    <t>error_propagation</t>
  </si>
  <si>
    <t>error_recovery</t>
  </si>
  <si>
    <t>unknown_function</t>
  </si>
  <si>
    <t>conditional_sumif</t>
  </si>
  <si>
    <t>conditional_countif</t>
  </si>
  <si>
    <t>conditional_averageif</t>
  </si>
  <si>
    <t>conditional_wildcard</t>
  </si>
  <si>
    <t>lookup_vlookup_exact</t>
  </si>
  <si>
    <t>lookup_vlookup_approximate</t>
  </si>
  <si>
    <t>lookup_hlookup_exact</t>
  </si>
  <si>
    <t>lookup_index</t>
  </si>
  <si>
    <t>lookup_match_exact</t>
  </si>
  <si>
    <t>lookup_match_approximate</t>
  </si>
  <si>
    <t>lookup_text_result</t>
  </si>
  <si>
    <t>lookup_not_found</t>
  </si>
  <si>
    <t>lookup_error_recovery</t>
  </si>
  <si>
    <t>multi_sumifs</t>
  </si>
  <si>
    <t>multi_countifs</t>
  </si>
  <si>
    <t>multi_averageifs</t>
  </si>
  <si>
    <t>multi_no_match</t>
  </si>
  <si>
    <t>date_create</t>
  </si>
  <si>
    <t>date_year</t>
  </si>
  <si>
    <t>date_month</t>
  </si>
  <si>
    <t>date_day</t>
  </si>
  <si>
    <t>date_leap_day</t>
  </si>
  <si>
    <t>date_error_propagation</t>
  </si>
  <si>
    <t>xlookup_exact_number</t>
  </si>
  <si>
    <t>xlookup_text_result</t>
  </si>
  <si>
    <t>xlookup_not_found_fallback</t>
  </si>
  <si>
    <t>xlookup_reverse_search</t>
  </si>
  <si>
    <t>xlookup_wildcard</t>
  </si>
  <si>
    <t>xlookup_next_smaller</t>
  </si>
  <si>
    <t>xlookup_row_vector</t>
  </si>
  <si>
    <t>xlookup_not_found_error</t>
  </si>
  <si>
    <t>xlookup_error_recovery</t>
  </si>
  <si>
    <t>volatile_offset_range</t>
  </si>
  <si>
    <t>volatile_indirect_same_sheet</t>
  </si>
  <si>
    <t>volatile_indirect_cross_sheet</t>
  </si>
  <si>
    <t>volatile_rand_bounds</t>
  </si>
  <si>
    <t>volatile_randbetween_fixed</t>
  </si>
  <si>
    <t>volatile_clock_relation</t>
  </si>
  <si>
    <t>xmatch_exact</t>
  </si>
  <si>
    <t>xmatch_reverse_search</t>
  </si>
  <si>
    <t>xmatch_wildcard</t>
  </si>
  <si>
    <t>xmatch_next_smaller</t>
  </si>
  <si>
    <t>xmatch_next_larger</t>
  </si>
  <si>
    <t>xmatch_row_vector</t>
  </si>
  <si>
    <t>xmatch_not_found</t>
  </si>
  <si>
    <t>xmatch_error_recovery</t>
  </si>
  <si>
    <t>Code</t>
  </si>
  <si>
    <t>Amount</t>
  </si>
  <si>
    <t>A</t>
  </si>
  <si>
    <t>Starter</t>
  </si>
  <si>
    <t>B</t>
  </si>
  <si>
    <t>Basic</t>
  </si>
  <si>
    <t>C</t>
  </si>
  <si>
    <t>Pro</t>
  </si>
  <si>
    <t>D</t>
  </si>
  <si>
    <t>400</t>
  </si>
  <si>
    <t>Enterprise</t>
  </si>
  <si>
    <t>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</si>
</sst>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5"/>
  <sheetViews>
    <sheetView tabSelected="1" workbookViewId="0"/>
  </sheetViews>
  <sheetFormatPr defaultRowHeight="15"/>
  <cols>
    <col min="2" max="2" width="16.7109375" customWidth="1"/>
    <col min="4" max="4" width="24.7109375" customWidth="1"/>
    <col min="5" max="5" width="20.71093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>
        <v>10</v>
      </c>
      <c r="B2" t="s">
        <v>5</v>
      </c>
      <c r="C2" t="s">
        <v>6</v>
      </c>
      <c r="D2" t="s">
        <v>7</v>
      </c>
      <c r="E2">
        <f>SUM(A2:A4)</f>
        <v>60</v>
      </c>
    </row>
    <row r="3" spans="1:5">
      <c r="A3">
        <v>20</v>
      </c>
      <c r="B3" t="s">
        <v>8</v>
      </c>
      <c r="C3" t="s">
        <v>9</v>
      </c>
      <c r="D3" t="s">
        <v>10</v>
      </c>
      <c r="E3">
        <f>AVERAGE(A2:A4)</f>
        <v>20</v>
      </c>
    </row>
    <row r="4" spans="1:5">
      <c r="A4">
        <v>30</v>
      </c>
      <c r="C4" t="s">
        <v>9</v>
      </c>
      <c r="D4" t="s">
        <v>11</v>
      </c>
      <c r="E4">
        <f>MIN(A2:A4)</f>
        <v>10</v>
      </c>
    </row>
    <row r="5" spans="1:5">
      <c r="D5" t="s">
        <v>12</v>
      </c>
      <c r="E5">
        <f>MAX(A2:A4)</f>
        <v>30</v>
      </c>
    </row>
    <row r="6" spans="1:5">
      <c r="D6" t="s">
        <v>13</v>
      </c>
      <c r="E6">
        <f>COUNT(A2:A4)</f>
        <v>3</v>
      </c>
    </row>
    <row r="7" spans="1:5">
      <c r="D7" t="s">
        <v>14</v>
      </c>
      <c r="E7">
        <f>ABS(-12.5)</f>
        <v>12.5</v>
      </c>
    </row>
    <row r="8" spans="1:5">
      <c r="D8" t="s">
        <v>15</v>
      </c>
      <c r="E8">
        <f>ROUND(12.345,2)</f>
        <v>12.35</v>
      </c>
    </row>
    <row r="9" spans="1:5">
      <c r="D9" t="s">
        <v>16</v>
      </c>
      <c r="E9" t="str">
        <f>IF(A4&gt;25,"high","low")</f>
        <v>high</v>
      </c>
    </row>
    <row r="10" spans="1:5">
      <c r="D10" t="s">
        <v>17</v>
      </c>
      <c r="E10" t="b">
        <f>AND(A2=10,A4=30)</f>
        <v>1</v>
      </c>
    </row>
    <row r="11" spans="1:5">
      <c r="D11" t="s">
        <v>18</v>
      </c>
      <c r="E11" t="b">
        <f>OR(A2=0,A3=20)</f>
        <v>1</v>
      </c>
    </row>
    <row r="12" spans="1:5">
      <c r="D12" t="s">
        <v>19</v>
      </c>
      <c r="E12" t="b">
        <f>NOT(A2=0)</f>
        <v>1</v>
      </c>
    </row>
    <row r="13" spans="1:5">
      <c r="D13" t="s">
        <v>20</v>
      </c>
      <c r="E13" t="str">
        <f>_xlfn.CONCAT("Long","Edit")</f>
        <v>LongEdit</v>
      </c>
    </row>
    <row r="14" spans="1:5">
      <c r="D14" t="s">
        <v>21</v>
      </c>
      <c r="E14">
        <f>LEN(TRIM(B2))</f>
        <v>9</v>
      </c>
    </row>
    <row r="15" spans="1:5">
      <c r="D15" t="s">
        <v>22</v>
      </c>
      <c r="E15" t="str">
        <f>UPPER(B3)</f>
        <v>WORKSPACE</v>
      </c>
    </row>
    <row r="16" spans="1:5">
      <c r="D16" t="s">
        <v>23</v>
      </c>
      <c r="E16" t="e">
        <f>1/0</f>
        <v>#DIV/0!</v>
      </c>
    </row>
    <row r="17" spans="4:5">
      <c r="D17" t="s">
        <v>24</v>
      </c>
      <c r="E17" t="e">
        <f>E16+1</f>
        <v>#DIV/0!</v>
      </c>
    </row>
    <row r="18" spans="4:5">
      <c r="D18" t="s">
        <v>25</v>
      </c>
      <c r="E18" t="str">
        <f>IFERROR(E16,"recovered")</f>
        <v>recovered</v>
      </c>
    </row>
    <row r="19" spans="4:5">
      <c r="D19" t="s">
        <v>26</v>
      </c>
      <c r="E19" t="e">
        <f>LONGEDIT_UNKNOWN(A2)</f>
        <v>#NAME?</v>
      </c>
    </row>
    <row r="20" spans="4:5">
      <c r="D20" t="s">
        <v>27</v>
      </c>
      <c r="E20">
        <f>SUMIF(A2:A4,"&gt;15")</f>
        <v>50</v>
      </c>
    </row>
    <row r="21" spans="4:5">
      <c r="D21" t="s">
        <v>28</v>
      </c>
      <c r="E21">
        <f>COUNTIF(A2:A4,"&gt;=20")</f>
        <v>2</v>
      </c>
    </row>
    <row r="22" spans="4:5">
      <c r="D22" t="s">
        <v>29</v>
      </c>
      <c r="E22">
        <f>AVERAGEIF(A2:A4,"&gt;10")</f>
        <v>25</v>
      </c>
    </row>
    <row r="23" spans="4:5">
      <c r="D23" t="s">
        <v>30</v>
      </c>
      <c r="E23">
        <f>COUNTIF('Lookup Data'!A2:A6,"?")</f>
        <v>5</v>
      </c>
    </row>
    <row r="24" spans="4:5">
      <c r="D24" t="s">
        <v>31</v>
      </c>
      <c r="E24">
        <f>VLOOKUP("B",'Lookup Data'!A2:B6,2,FALSE)</f>
        <v>200</v>
      </c>
    </row>
    <row r="25" spans="4:5">
      <c r="D25" t="s">
        <v>32</v>
      </c>
      <c r="E25" t="str">
        <f>VLOOKUP(25,'Lookup Data'!E2:F5,2,TRUE)</f>
        <v>Pro</v>
      </c>
    </row>
    <row r="26" spans="4:5">
      <c r="D26" t="s">
        <v>33</v>
      </c>
      <c r="E26">
        <f>HLOOKUP("C",'Lookup Data'!A8:D9,2,FALSE)</f>
        <v>300</v>
      </c>
    </row>
    <row r="27" spans="4:5">
      <c r="D27" t="s">
        <v>34</v>
      </c>
      <c r="E27">
        <f>INDEX('Lookup Data'!B2:B6,3)</f>
        <v>300</v>
      </c>
    </row>
    <row r="28" spans="4:5">
      <c r="D28" t="s">
        <v>35</v>
      </c>
      <c r="E28">
        <f>MATCH("C",'Lookup Data'!A2:A6,0)</f>
        <v>3</v>
      </c>
    </row>
    <row r="29" spans="4:5">
      <c r="D29" t="s">
        <v>36</v>
      </c>
      <c r="E29">
        <f>MATCH(25,'Lookup Data'!E2:E5,1)</f>
        <v>3</v>
      </c>
    </row>
    <row r="30" spans="4:5">
      <c r="D30" t="s">
        <v>37</v>
      </c>
      <c r="E30">
        <f>VLOOKUP("D",'Lookup Data'!A2:B6,2,FALSE)</f>
        <v>400</v>
      </c>
    </row>
    <row r="31" spans="4:5">
      <c r="D31" t="s">
        <v>38</v>
      </c>
      <c r="E31" t="e">
        <f>VLOOKUP("Z",'Lookup Data'!A2:B6,2,FALSE)</f>
        <v>#N/A</v>
      </c>
    </row>
    <row r="32" spans="4:5">
      <c r="D32" t="s">
        <v>39</v>
      </c>
      <c r="E32" t="str">
        <f>IFERROR(E31,"missing")</f>
        <v>missing</v>
      </c>
    </row>
    <row r="33" spans="4:5">
      <c r="D33" t="s">
        <v>40</v>
      </c>
      <c r="E33">
        <f>SUMIFS(A2:A4,A2:A4,"&gt;=20",C2:C4,"East")</f>
        <v>50</v>
      </c>
    </row>
    <row r="34" spans="4:5">
      <c r="D34" t="s">
        <v>41</v>
      </c>
      <c r="E34">
        <f>COUNTIFS(A2:A4,"&gt;10",C2:C4,"East")</f>
        <v>2</v>
      </c>
    </row>
    <row r="35" spans="4:5">
      <c r="D35" t="s">
        <v>42</v>
      </c>
      <c r="E35">
        <f>AVERAGEIFS(A2:A4,C2:C4,"East",A2:A4,"&lt;30")</f>
        <v>20</v>
      </c>
    </row>
    <row r="36" spans="4:5">
      <c r="D36" t="s">
        <v>43</v>
      </c>
      <c r="E36">
        <f>COUNTIFS(A2:A4,"&gt;100",C2:C4,"East")</f>
        <v>0</v>
      </c>
    </row>
    <row r="37" spans="4:5">
      <c r="D37" t="s">
        <v>44</v>
      </c>
      <c r="E37">
        <f>DATE(2024,2,29)</f>
        <v>45351</v>
      </c>
    </row>
    <row r="38" spans="4:5">
      <c r="D38" t="s">
        <v>45</v>
      </c>
      <c r="E38">
        <f>YEAR(DATE(2024,2,29))</f>
        <v>2024</v>
      </c>
    </row>
    <row r="39" spans="4:5">
      <c r="D39" t="s">
        <v>46</v>
      </c>
      <c r="E39">
        <f>MONTH(DATE(2024,2,29))</f>
        <v>2</v>
      </c>
    </row>
    <row r="40" spans="4:5">
      <c r="D40" t="s">
        <v>47</v>
      </c>
      <c r="E40">
        <f>DAY(DATE(2024,2,29))</f>
        <v>29</v>
      </c>
    </row>
    <row r="41" spans="4:5">
      <c r="D41" t="s">
        <v>48</v>
      </c>
      <c r="E41">
        <f>DAY(DATE(2024,3,0))</f>
        <v>29</v>
      </c>
    </row>
    <row r="42" spans="4:5">
      <c r="D42" t="s">
        <v>49</v>
      </c>
      <c r="E42" t="e">
        <f>YEAR("not-a-date")</f>
        <v>#VALUE!</v>
      </c>
    </row>
    <row r="43" spans="4:5">
      <c r="D43" t="s">
        <v>50</v>
      </c>
      <c r="E43" cm="1">
        <f t="array" ref="E43">_xlfn.XLOOKUP("B",'Lookup Data'!A2:A6,'Lookup Data'!B2:B6)</f>
        <v>200</v>
      </c>
    </row>
    <row r="44" spans="4:5">
      <c r="D44" t="s">
        <v>51</v>
      </c>
      <c r="E44" cm="1">
        <f t="array" ref="E44">_xlfn.XLOOKUP("D",'Lookup Data'!A2:A6,'Lookup Data'!B2:B6)</f>
        <v>400</v>
      </c>
    </row>
    <row r="45" spans="4:5">
      <c r="D45" t="s">
        <v>52</v>
      </c>
      <c r="E45" cm="1" t="str">
        <f t="array" ref="E45">_xlfn.XLOOKUP("Z",'Lookup Data'!A2:A6,'Lookup Data'!B2:B6,"missing")</f>
        <v>missing</v>
      </c>
    </row>
    <row r="46" spans="4:5">
      <c r="D46" t="s">
        <v>53</v>
      </c>
      <c r="E46" cm="1">
        <f t="array" ref="E46">_xlfn.XLOOKUP("East",C2:C4,A2:A4,,0,-1)</f>
        <v>30</v>
      </c>
    </row>
    <row r="47" spans="4:5">
      <c r="D47" t="s">
        <v>54</v>
      </c>
      <c r="E47" cm="1">
        <f t="array" ref="E47">_xlfn.XLOOKUP("C*",'Lookup Data'!A2:A6,'Lookup Data'!B2:B6,,2)</f>
        <v>300</v>
      </c>
    </row>
    <row r="48" spans="4:5">
      <c r="D48" t="s">
        <v>55</v>
      </c>
      <c r="E48" cm="1" t="str">
        <f t="array" ref="E48">_xlfn.XLOOKUP(25,'Lookup Data'!E2:E5,'Lookup Data'!F2:F5,,-1)</f>
        <v>Pro</v>
      </c>
    </row>
    <row r="49" spans="4:5">
      <c r="D49" t="s">
        <v>56</v>
      </c>
      <c r="E49" cm="1">
        <f t="array" ref="E49">_xlfn.XLOOKUP("C",'Lookup Data'!A8:D8,'Lookup Data'!A9:D9)</f>
        <v>300</v>
      </c>
    </row>
    <row r="50" spans="4:5">
      <c r="D50" t="s">
        <v>57</v>
      </c>
      <c r="E50" cm="1" t="e">
        <f t="array" ref="E50">_xlfn.XLOOKUP("Z",'Lookup Data'!A2:A6,'Lookup Data'!B2:B6)</f>
        <v>#N/A</v>
      </c>
    </row>
    <row r="51" spans="4:5">
      <c r="D51" t="s">
        <v>58</v>
      </c>
      <c r="E51" t="str">
        <f>IFERROR(E50,"recovered")</f>
        <v>recovered</v>
      </c>
    </row>
    <row r="52" spans="4:5">
      <c r="D52" t="s">
        <v>59</v>
      </c>
      <c r="E52">
        <f>SUM(OFFSET(A2,1,0,2,1))</f>
        <v>50</v>
      </c>
    </row>
    <row r="53" spans="4:5">
      <c r="D53" t="s">
        <v>60</v>
      </c>
      <c r="E53">
        <f>INDIRECT("A3")</f>
        <v>20</v>
      </c>
    </row>
    <row r="54" spans="4:5">
      <c r="D54" t="s">
        <v>61</v>
      </c>
      <c r="E54">
        <f>SUM(INDIRECT("'Lookup Data'!B4"))</f>
        <v>300</v>
      </c>
    </row>
    <row r="55" spans="4:5">
      <c r="D55" t="s">
        <v>62</v>
      </c>
      <c r="E55" t="b">
        <f>AND(RAND()&gt;=0,RAND()&lt;1)</f>
        <v>1</v>
      </c>
    </row>
    <row r="56" spans="4:5">
      <c r="D56" t="s">
        <v>63</v>
      </c>
      <c r="E56">
        <f>RANDBETWEEN(5,5)</f>
        <v>5</v>
      </c>
    </row>
    <row r="57" spans="4:5">
      <c r="D57" t="s">
        <v>64</v>
      </c>
      <c r="E57" t="b">
        <f>AND(TODAY()&lt;=NOW(),NOW()&lt;TODAY()+1)</f>
        <v>1</v>
      </c>
    </row>
    <row r="58" spans="4:5">
      <c r="D58" t="s">
        <v>65</v>
      </c>
      <c r="E58">
        <f>_xlfn.XMATCH("C",'Lookup Data'!A2:A6)</f>
        <v>3</v>
      </c>
    </row>
    <row r="59" spans="4:5">
      <c r="D59" t="s">
        <v>66</v>
      </c>
      <c r="E59">
        <f>_xlfn.XMATCH("East",C2:C4,0,-1)</f>
        <v>3</v>
      </c>
    </row>
    <row r="60" spans="4:5">
      <c r="D60" t="s">
        <v>67</v>
      </c>
      <c r="E60">
        <f>_xlfn.XMATCH("C*",'Lookup Data'!A2:A6,2)</f>
        <v>3</v>
      </c>
    </row>
    <row r="61" spans="4:5">
      <c r="D61" t="s">
        <v>68</v>
      </c>
      <c r="E61">
        <f>_xlfn.XMATCH(25,'Lookup Data'!E2:E5,-1)</f>
        <v>3</v>
      </c>
    </row>
    <row r="62" spans="4:5">
      <c r="D62" t="s">
        <v>69</v>
      </c>
      <c r="E62">
        <f>_xlfn.XMATCH(25,'Lookup Data'!E2:E5,1)</f>
        <v>4</v>
      </c>
    </row>
    <row r="63" spans="4:5">
      <c r="D63" t="s">
        <v>70</v>
      </c>
      <c r="E63">
        <f>_xlfn.XMATCH("C",'Lookup Data'!A8:D8)</f>
        <v>3</v>
      </c>
    </row>
    <row r="64" spans="4:5">
      <c r="D64" t="s">
        <v>71</v>
      </c>
      <c r="E64" t="e">
        <f>_xlfn.XMATCH("Z",'Lookup Data'!A2:A6)</f>
        <v>#N/A</v>
      </c>
    </row>
    <row r="65" spans="4:5">
      <c r="D65" t="s">
        <v>72</v>
      </c>
      <c r="E65" t="str">
        <f>IFERROR(E64,"recovered")</f>
        <v>recovered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sheetData>
    <row r="1" spans="1:6">
      <c r="A1" t="s">
        <v>73</v>
      </c>
      <c r="B1" t="s">
        <v>74</v>
      </c>
    </row>
    <row r="2" spans="1:6">
      <c r="A2" t="s">
        <v>75</v>
      </c>
      <c r="B2">
        <v>100</v>
      </c>
      <c r="E2">
        <v>0</v>
      </c>
      <c r="F2" t="s">
        <v>76</v>
      </c>
    </row>
    <row r="3" spans="1:6">
      <c r="A3" t="s">
        <v>77</v>
      </c>
      <c r="B3">
        <v>200</v>
      </c>
      <c r="E3">
        <v>10</v>
      </c>
      <c r="F3" t="s">
        <v>78</v>
      </c>
    </row>
    <row r="4" spans="1:6">
      <c r="A4" t="s">
        <v>79</v>
      </c>
      <c r="B4">
        <v>300</v>
      </c>
      <c r="E4">
        <v>20</v>
      </c>
      <c r="F4" t="s">
        <v>80</v>
      </c>
    </row>
    <row r="5" spans="1:6">
      <c r="A5" t="s">
        <v>81</v>
      </c>
      <c r="B5" t="s">
        <v>82</v>
      </c>
      <c r="E5">
        <v>30</v>
      </c>
      <c r="F5" t="s">
        <v>83</v>
      </c>
    </row>
    <row r="6" spans="1:6">
      <c r="A6" t="s">
        <v>84</v>
      </c>
      <c r="B6">
        <v>500</v>
      </c>
    </row>
    <row r="8" spans="1:6">
      <c r="A8" t="s">
        <v>75</v>
      </c>
      <c r="B8" t="s">
        <v>77</v>
      </c>
      <c r="C8" t="s">
        <v>79</v>
      </c>
      <c r="D8" t="s">
        <v>81</v>
      </c>
    </row>
    <row r="9" spans="1:6">
      <c r="A9">
        <v>100</v>
      </c>
      <c r="B9">
        <v>200</v>
      </c>
      <c r="C9">
        <v>300</v>
      </c>
      <c r="D9">
        <v>400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Formula Matrix</vt:lpstr>
      <vt:lpstr>Lookup Data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2026-07-29T18:19:58Z</dcterms:created>
  <dcterms:modified xsi:type="dcterms:W3CDTF">2026-07-29T18:19:58Z</dcterms:modified>
</cp:coreProperties>
</file>