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 Matrix" sheetId="1" r:id="rId1"/>
    <sheet name="Lookup Data" sheetId="2" r:id="rId2"/>
  </sheets>
  <calcPr calcId="124519" fullCalcOnLoad="1"/>
</workbook>
</file>

<file path=xl/sharedStrings.xml><?xml version="1.0" encoding="utf-8"?>
<sst xmlns="http://schemas.openxmlformats.org/spreadsheetml/2006/main" count="53" uniqueCount="49">
  <si>
    <t>Value</t>
  </si>
  <si>
    <t>Text</t>
  </si>
  <si>
    <t>Case</t>
  </si>
  <si>
    <t>Formula result</t>
  </si>
  <si>
    <t xml:space="preserve"> long edit </t>
  </si>
  <si>
    <t>aggregate_sum</t>
  </si>
  <si>
    <t>workspace</t>
  </si>
  <si>
    <t>aggregate_average</t>
  </si>
  <si>
    <t>aggregate_min</t>
  </si>
  <si>
    <t>aggregate_max</t>
  </si>
  <si>
    <t>aggregate_count</t>
  </si>
  <si>
    <t>math_abs</t>
  </si>
  <si>
    <t>math_round</t>
  </si>
  <si>
    <t>logical_if</t>
  </si>
  <si>
    <t>logical_and</t>
  </si>
  <si>
    <t>logical_or</t>
  </si>
  <si>
    <t>logical_not</t>
  </si>
  <si>
    <t>text_concat</t>
  </si>
  <si>
    <t>text_len_trim</t>
  </si>
  <si>
    <t>text_upper</t>
  </si>
  <si>
    <t>error_division</t>
  </si>
  <si>
    <t>error_propagation</t>
  </si>
  <si>
    <t>error_recovery</t>
  </si>
  <si>
    <t>unknown_function</t>
  </si>
  <si>
    <t>conditional_sumif</t>
  </si>
  <si>
    <t>conditional_countif</t>
  </si>
  <si>
    <t>conditional_averageif</t>
  </si>
  <si>
    <t>conditional_wildcard</t>
  </si>
  <si>
    <t>lookup_vlookup_exact</t>
  </si>
  <si>
    <t>lookup_vlookup_approximate</t>
  </si>
  <si>
    <t>lookup_hlookup_exact</t>
  </si>
  <si>
    <t>lookup_index</t>
  </si>
  <si>
    <t>lookup_match_exact</t>
  </si>
  <si>
    <t>lookup_match_approximate</t>
  </si>
  <si>
    <t>lookup_text_result</t>
  </si>
  <si>
    <t>lookup_not_found</t>
  </si>
  <si>
    <t>lookup_error_recovery</t>
  </si>
  <si>
    <t>Code</t>
  </si>
  <si>
    <t>Amount</t>
  </si>
  <si>
    <t>A</t>
  </si>
  <si>
    <t>Starter</t>
  </si>
  <si>
    <t>B</t>
  </si>
  <si>
    <t>Basic</t>
  </si>
  <si>
    <t>C</t>
  </si>
  <si>
    <t>Pro</t>
  </si>
  <si>
    <t>D</t>
  </si>
  <si>
    <t>400</t>
  </si>
  <si>
    <t>Enterprise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</si>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</sst>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2" max="2" width="16.7109375" customWidth="1"/>
    <col min="4" max="4" width="24.7109375" customWidth="1"/>
    <col min="5" max="5" width="20.7109375" customWidth="1"/>
  </cols>
  <sheetData>
    <row r="1" spans="1:5">
      <c r="A1" s="1" t="s">
        <v>0</v>
      </c>
      <c r="B1" s="1" t="s">
        <v>1</v>
      </c>
      <c r="D1" s="1" t="s">
        <v>2</v>
      </c>
      <c r="E1" s="1" t="s">
        <v>3</v>
      </c>
    </row>
    <row r="2" spans="1:5">
      <c r="A2">
        <v>10</v>
      </c>
      <c r="B2" t="s">
        <v>4</v>
      </c>
      <c r="D2" t="s">
        <v>5</v>
      </c>
      <c r="E2">
        <f>SUM(A2:A4)</f>
        <v>60</v>
      </c>
    </row>
    <row r="3" spans="1:5">
      <c r="A3">
        <v>20</v>
      </c>
      <c r="B3" t="s">
        <v>6</v>
      </c>
      <c r="D3" t="s">
        <v>7</v>
      </c>
      <c r="E3">
        <f>AVERAGE(A2:A4)</f>
        <v>20</v>
      </c>
    </row>
    <row r="4" spans="1:5">
      <c r="A4">
        <v>30</v>
      </c>
      <c r="D4" t="s">
        <v>8</v>
      </c>
      <c r="E4">
        <f>MIN(A2:A4)</f>
        <v>10</v>
      </c>
    </row>
    <row r="5" spans="1:5">
      <c r="D5" t="s">
        <v>9</v>
      </c>
      <c r="E5">
        <f>MAX(A2:A4)</f>
        <v>30</v>
      </c>
    </row>
    <row r="6" spans="1:5">
      <c r="D6" t="s">
        <v>10</v>
      </c>
      <c r="E6">
        <f>COUNT(A2:A4)</f>
        <v>3</v>
      </c>
    </row>
    <row r="7" spans="1:5">
      <c r="D7" t="s">
        <v>11</v>
      </c>
      <c r="E7">
        <f>ABS(-12.5)</f>
        <v>12.5</v>
      </c>
    </row>
    <row r="8" spans="1:5">
      <c r="D8" t="s">
        <v>12</v>
      </c>
      <c r="E8">
        <f>ROUND(12.345,2)</f>
        <v>12.35</v>
      </c>
    </row>
    <row r="9" spans="1:5">
      <c r="D9" t="s">
        <v>13</v>
      </c>
      <c r="E9" t="str">
        <f>IF(A4&gt;25,"high","low")</f>
        <v>high</v>
      </c>
    </row>
    <row r="10" spans="1:5">
      <c r="D10" t="s">
        <v>14</v>
      </c>
      <c r="E10" t="b">
        <f>AND(A2=10,A4=30)</f>
        <v>1</v>
      </c>
    </row>
    <row r="11" spans="1:5">
      <c r="D11" t="s">
        <v>15</v>
      </c>
      <c r="E11" t="b">
        <f>OR(A2=0,A3=20)</f>
        <v>1</v>
      </c>
    </row>
    <row r="12" spans="1:5">
      <c r="D12" t="s">
        <v>16</v>
      </c>
      <c r="E12" t="b">
        <f>NOT(A2=0)</f>
        <v>1</v>
      </c>
    </row>
    <row r="13" spans="1:5">
      <c r="D13" t="s">
        <v>17</v>
      </c>
      <c r="E13" t="str">
        <f>_xlfn.CONCAT("Long","Edit")</f>
        <v>LongEdit</v>
      </c>
    </row>
    <row r="14" spans="1:5">
      <c r="D14" t="s">
        <v>18</v>
      </c>
      <c r="E14">
        <f>LEN(TRIM(B2))</f>
        <v>9</v>
      </c>
    </row>
    <row r="15" spans="1:5">
      <c r="D15" t="s">
        <v>19</v>
      </c>
      <c r="E15" t="str">
        <f>UPPER(B3)</f>
        <v>WORKSPACE</v>
      </c>
    </row>
    <row r="16" spans="1:5">
      <c r="D16" t="s">
        <v>20</v>
      </c>
      <c r="E16" t="e">
        <f>1/0</f>
        <v>#DIV/0!</v>
      </c>
    </row>
    <row r="17" spans="4:5">
      <c r="D17" t="s">
        <v>21</v>
      </c>
      <c r="E17" t="e">
        <f>E16+1</f>
        <v>#DIV/0!</v>
      </c>
    </row>
    <row r="18" spans="4:5">
      <c r="D18" t="s">
        <v>22</v>
      </c>
      <c r="E18" t="str">
        <f>IFERROR(E16,"recovered")</f>
        <v>recovered</v>
      </c>
    </row>
    <row r="19" spans="4:5">
      <c r="D19" t="s">
        <v>23</v>
      </c>
      <c r="E19" t="e">
        <f>LONGEDIT_UNKNOWN(A2)</f>
        <v>#NAME?</v>
      </c>
    </row>
    <row r="20" spans="4:5">
      <c r="D20" t="s">
        <v>24</v>
      </c>
      <c r="E20">
        <f>SUMIF(A2:A4,"&gt;15")</f>
        <v>50</v>
      </c>
    </row>
    <row r="21" spans="4:5">
      <c r="D21" t="s">
        <v>25</v>
      </c>
      <c r="E21">
        <f>COUNTIF(A2:A4,"&gt;=20")</f>
        <v>2</v>
      </c>
    </row>
    <row r="22" spans="4:5">
      <c r="D22" t="s">
        <v>26</v>
      </c>
      <c r="E22">
        <f>AVERAGEIF(A2:A4,"&gt;10")</f>
        <v>25</v>
      </c>
    </row>
    <row r="23" spans="4:5">
      <c r="D23" t="s">
        <v>27</v>
      </c>
      <c r="E23">
        <f>COUNTIF('Lookup Data'!A2:A6,"?")</f>
        <v>5</v>
      </c>
    </row>
    <row r="24" spans="4:5">
      <c r="D24" t="s">
        <v>28</v>
      </c>
      <c r="E24">
        <f>VLOOKUP("B",'Lookup Data'!A2:B6,2,FALSE)</f>
        <v>200</v>
      </c>
    </row>
    <row r="25" spans="4:5">
      <c r="D25" t="s">
        <v>29</v>
      </c>
      <c r="E25" t="str">
        <f>VLOOKUP(25,'Lookup Data'!E2:F5,2,TRUE)</f>
        <v>Pro</v>
      </c>
    </row>
    <row r="26" spans="4:5">
      <c r="D26" t="s">
        <v>30</v>
      </c>
      <c r="E26">
        <f>HLOOKUP("C",'Lookup Data'!A8:D9,2,FALSE)</f>
        <v>300</v>
      </c>
    </row>
    <row r="27" spans="4:5">
      <c r="D27" t="s">
        <v>31</v>
      </c>
      <c r="E27">
        <f>INDEX('Lookup Data'!B2:B6,3)</f>
        <v>300</v>
      </c>
    </row>
    <row r="28" spans="4:5">
      <c r="D28" t="s">
        <v>32</v>
      </c>
      <c r="E28">
        <f>MATCH("C",'Lookup Data'!A2:A6,0)</f>
        <v>3</v>
      </c>
    </row>
    <row r="29" spans="4:5">
      <c r="D29" t="s">
        <v>33</v>
      </c>
      <c r="E29">
        <f>MATCH(25,'Lookup Data'!E2:E5,1)</f>
        <v>3</v>
      </c>
    </row>
    <row r="30" spans="4:5">
      <c r="D30" t="s">
        <v>34</v>
      </c>
      <c r="E30">
        <f>VLOOKUP("D",'Lookup Data'!A2:B6,2,FALSE)</f>
        <v>400</v>
      </c>
    </row>
    <row r="31" spans="4:5">
      <c r="D31" t="s">
        <v>35</v>
      </c>
      <c r="E31" t="e">
        <f>VLOOKUP("Z",'Lookup Data'!A2:B6,2,FALSE)</f>
        <v>#N/A</v>
      </c>
    </row>
    <row r="32" spans="4:5">
      <c r="D32" t="s">
        <v>36</v>
      </c>
      <c r="E32" t="str">
        <f>IFERROR(E31,"missing")</f>
        <v>missing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37</v>
      </c>
      <c r="B1" t="s">
        <v>38</v>
      </c>
    </row>
    <row r="2" spans="1:6">
      <c r="A2" t="s">
        <v>39</v>
      </c>
      <c r="B2">
        <v>100</v>
      </c>
      <c r="E2">
        <v>0</v>
      </c>
      <c r="F2" t="s">
        <v>40</v>
      </c>
    </row>
    <row r="3" spans="1:6">
      <c r="A3" t="s">
        <v>41</v>
      </c>
      <c r="B3">
        <v>200</v>
      </c>
      <c r="E3">
        <v>10</v>
      </c>
      <c r="F3" t="s">
        <v>42</v>
      </c>
    </row>
    <row r="4" spans="1:6">
      <c r="A4" t="s">
        <v>43</v>
      </c>
      <c r="B4">
        <v>300</v>
      </c>
      <c r="E4">
        <v>20</v>
      </c>
      <c r="F4" t="s">
        <v>44</v>
      </c>
    </row>
    <row r="5" spans="1:6">
      <c r="A5" t="s">
        <v>45</v>
      </c>
      <c r="B5" t="s">
        <v>46</v>
      </c>
      <c r="E5">
        <v>30</v>
      </c>
      <c r="F5" t="s">
        <v>47</v>
      </c>
    </row>
    <row r="6" spans="1:6">
      <c r="A6" t="s">
        <v>48</v>
      </c>
      <c r="B6">
        <v>500</v>
      </c>
    </row>
    <row r="8" spans="1:6">
      <c r="A8" t="s">
        <v>39</v>
      </c>
      <c r="B8" t="s">
        <v>41</v>
      </c>
      <c r="C8" t="s">
        <v>43</v>
      </c>
      <c r="D8" t="s">
        <v>45</v>
      </c>
    </row>
    <row r="9" spans="1:6">
      <c r="A9">
        <v>100</v>
      </c>
      <c r="B9">
        <v>200</v>
      </c>
      <c r="C9">
        <v>300</v>
      </c>
      <c r="D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 Matrix</vt:lpstr>
      <vt:lpstr>Lookup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2026-07-23T09:22:33Z</dcterms:created>
  <dcterms:modified xsi:type="dcterms:W3CDTF">2026-07-23T09:22:33Z</dcterms:modified>
</cp:coreProperties>
</file>